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0053ab5e3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2111600a544692"/>
    <x:sheet xmlns:r="http://schemas.openxmlformats.org/officeDocument/2006/relationships" name="Assumptions" sheetId="2" r:id="R2138ff0746f24398"/>
    <x:sheet xmlns:r="http://schemas.openxmlformats.org/officeDocument/2006/relationships" name="Unit Economics" sheetId="3" r:id="R15f93b286440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;(#,##0.00);-"/>
  </x:numFmts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2345B"/>
      <x:name val="Arial"/>
    </x:font>
    <x:font>
      <x:b/>
      <x:sz val="10"/>
      <x:color rgb="FFB42318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0"/>
      <x:color rgb="FF12345B"/>
      <x:name val="Arial"/>
    </x:font>
    <x:font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DECEC"/>
      </x:patternFill>
    </x:fill>
    <x:fill>
      <x:patternFill patternType="solid">
        <x:fgColor rgb="FF12345B"/>
      </x:patternFill>
    </x:fill>
    <x:fill>
      <x:patternFill patternType="solid">
        <x:fgColor rgb="FFFFF2CC"/>
      </x:patternFill>
    </x:fill>
    <x:fill>
      <x:patternFill patternType="solid">
        <x:fgColor rgb="FFEAF4FC"/>
      </x:patternFill>
    </x:fill>
    <x:fill>
      <x:patternFill patternType="solid">
        <x:fgColor rgb="FF1877C9"/>
      </x:patternFill>
    </x:fill>
    <x:fill>
      <x:patternFill patternType="solid">
        <x:fgColor rgb="FFF7F9FB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7" fillId="0" borderId="0" xfId="0" applyNumberFormat="1" applyFont="1" applyFill="1" applyBorder="1"/>
    <x:xf numFmtId="201" fontId="7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0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246ebeaf048d0" /><Relationship Type="http://schemas.openxmlformats.org/officeDocument/2006/relationships/theme" Target="/xl/theme/theme1.xml" Id="Rd4be098c02ad4e6a" /><Relationship Type="http://schemas.openxmlformats.org/officeDocument/2006/relationships/sharedStrings" Target="/xl/sharedStrings.xml" Id="R0427623122774a80" /><Relationship Type="http://schemas.openxmlformats.org/officeDocument/2006/relationships/worksheet" Target="/xl/worksheets/sheet1.xml" Id="Rc42111600a544692" /><Relationship Type="http://schemas.openxmlformats.org/officeDocument/2006/relationships/worksheet" Target="/xl/worksheets/sheet2.xml" Id="R2138ff0746f24398" /><Relationship Type="http://schemas.openxmlformats.org/officeDocument/2006/relationships/worksheet" Target="/xl/worksheets/sheet3.xml" Id="R15f93b28644044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15" hidden="0" customHeight="1">
      <x:c r="A1" s="26"/>
      <x:c r="B1" s="26"/>
      <x:c r="C1" s="26"/>
      <x:c r="D1" s="26"/>
      <x:c r="E1" s="26"/>
      <x:c r="F1" s="26"/>
      <x:c r="G1" s="26"/>
      <x:c r="H1" s="26"/>
    </x:row>
    <x:row r="2" ht="28" hidden="0" customHeight="1">
      <x:c r="A2" s="27" t="str">
        <x:v>Omran VIP Card Program — ملخص الجدوى التجريبية</x:v>
      </x:c>
      <x:c r="B2" s="27"/>
      <x:c r="C2" s="27"/>
      <x:c r="D2" s="27"/>
      <x:c r="E2" s="27"/>
      <x:c r="F2" s="27"/>
      <x:c r="G2" s="26"/>
      <x:c r="H2" s="26"/>
    </x:row>
    <x:row r="3" ht="15" hidden="0" customHeight="1">
      <x:c r="A3" s="28" t="str">
        <x:v>القيم الحالية افتراضات دراسة فقط وليست أسعارًا أو مزايا معتمدة</x:v>
      </x:c>
      <x:c r="B3" s="28"/>
      <x:c r="C3" s="28"/>
      <x:c r="D3" s="28"/>
      <x:c r="E3" s="28"/>
      <x:c r="F3" s="28"/>
      <x:c r="G3" s="26"/>
      <x:c r="H3" s="26"/>
    </x:row>
    <x:row r="4" ht="15" hidden="0" customHeight="1">
      <x:c r="A4" s="26"/>
      <x:c r="B4" s="26"/>
      <x:c r="C4" s="26"/>
      <x:c r="D4" s="26"/>
      <x:c r="E4" s="26"/>
      <x:c r="F4" s="26"/>
      <x:c r="G4" s="26"/>
      <x:c r="H4" s="26"/>
    </x:row>
    <x:row r="5" ht="15" hidden="0" customHeight="1">
      <x:c r="A5" s="8" t="str">
        <x:v>مؤشر الحالة الأساسية</x:v>
      </x:c>
      <x:c r="B5" s="8" t="str">
        <x:v>VIP</x:v>
      </x:c>
      <x:c r="C5" s="8" t="str">
        <x:v>Silver</x:v>
      </x:c>
      <x:c r="D5" s="8" t="str">
        <x:v>البرنامج</x:v>
      </x:c>
      <x:c r="E5" s="26"/>
      <x:c r="F5" s="26"/>
      <x:c r="G5" s="26"/>
      <x:c r="H5" s="26"/>
    </x:row>
    <x:row r="6" ht="15" hidden="0" customHeight="1">
      <x:c r="A6" s="26" t="str">
        <x:v>سعر البيع المفترض</x:v>
      </x:c>
      <x:c r="B6" s="29" t="n">
        <x:f>Assumptions!D8</x:f>
        <x:v>350</x:v>
      </x:c>
      <x:c r="C6" s="29" t="n">
        <x:f>Assumptions!D20</x:f>
        <x:v>90</x:v>
      </x:c>
      <x:c r="D6" s="29"/>
      <x:c r="E6" s="26"/>
      <x:c r="F6" s="26"/>
      <x:c r="G6" s="26"/>
      <x:c r="H6" s="26"/>
    </x:row>
    <x:row r="7" ht="15" hidden="0" customHeight="1">
      <x:c r="A7" s="26" t="str">
        <x:v>المساهمة المتوقعة/كارت</x:v>
      </x:c>
      <x:c r="B7" s="29" t="n">
        <x:f>'Unit Economics'!D11</x:f>
        <x:v>43.75</x:v>
      </x:c>
      <x:c r="C7" s="29" t="n">
        <x:f>'Unit Economics'!D20</x:f>
        <x:v>-39.25</x:v>
      </x:c>
      <x:c r="D7" s="29"/>
      <x:c r="E7" s="26"/>
      <x:c r="F7" s="26"/>
      <x:c r="G7" s="26"/>
      <x:c r="H7" s="26"/>
    </x:row>
    <x:row r="8" ht="15" hidden="0" customHeight="1">
      <x:c r="A8" s="26" t="str">
        <x:v>المساهمة عند أقصى استخدام/كارت</x:v>
      </x:c>
      <x:c r="B8" s="29" t="n">
        <x:f>'Unit Economics'!D12</x:f>
        <x:v>-61.25</x:v>
      </x:c>
      <x:c r="C8" s="29" t="n">
        <x:f>'Unit Economics'!D21</x:f>
        <x:v>-63.25</x:v>
      </x:c>
      <x:c r="D8" s="29"/>
      <x:c r="E8" s="26"/>
      <x:c r="F8" s="26"/>
      <x:c r="G8" s="26"/>
      <x:c r="H8" s="26"/>
    </x:row>
    <x:row r="9" ht="15" hidden="0" customHeight="1">
      <x:c r="A9" s="26" t="str">
        <x:v>الكروت المباعة</x:v>
      </x:c>
      <x:c r="B9" s="29" t="n">
        <x:f>'Unit Economics'!D5</x:f>
        <x:v>300</x:v>
      </x:c>
      <x:c r="C9" s="29" t="n">
        <x:f>'Unit Economics'!D14</x:f>
        <x:v>500</x:v>
      </x:c>
      <x:c r="D9" s="29" t="n">
        <x:f>SUM(B9:C9)</x:f>
        <x:v>800</x:v>
      </x:c>
      <x:c r="E9" s="26"/>
      <x:c r="F9" s="26"/>
      <x:c r="G9" s="26"/>
      <x:c r="H9" s="26"/>
    </x:row>
    <x:row r="10" ht="15" hidden="0" customHeight="1">
      <x:c r="A10" s="26" t="str">
        <x:v>الإيراد</x:v>
      </x:c>
      <x:c r="B10" s="29" t="n">
        <x:f>'Unit Economics'!D6</x:f>
        <x:v>105000</x:v>
      </x:c>
      <x:c r="C10" s="29" t="n">
        <x:f>'Unit Economics'!D15</x:f>
        <x:v>45000</x:v>
      </x:c>
      <x:c r="D10" s="29" t="n">
        <x:f>'Unit Economics'!D23</x:f>
        <x:v>150000</x:v>
      </x:c>
      <x:c r="E10" s="26"/>
      <x:c r="F10" s="26"/>
      <x:c r="G10" s="26"/>
      <x:c r="H10" s="26"/>
    </x:row>
    <x:row r="11" ht="15" hidden="0" customHeight="1">
      <x:c r="A11" s="26" t="str">
        <x:v>النتيجة بعد تكلفة التأسيس</x:v>
      </x:c>
      <x:c r="B11" s="29"/>
      <x:c r="C11" s="29"/>
      <x:c r="D11" s="29" t="n">
        <x:f>'Unit Economics'!D25</x:f>
        <x:v>-31500</x:v>
      </x:c>
      <x:c r="E11" s="26"/>
      <x:c r="F11" s="26"/>
      <x:c r="G11" s="26"/>
      <x:c r="H11" s="26"/>
    </x:row>
    <x:row r="12" ht="15" hidden="0" customHeight="1">
      <x:c r="A12" s="26"/>
      <x:c r="B12" s="26"/>
      <x:c r="C12" s="26"/>
      <x:c r="D12" s="26"/>
      <x:c r="E12" s="26"/>
      <x:c r="F12" s="26"/>
      <x:c r="G12" s="26"/>
      <x:c r="H12" s="26"/>
    </x:row>
    <x:row r="13" ht="15" hidden="0" customHeight="1">
      <x:c r="A13" s="30" t="str">
        <x:v>مقارنة السيناريو</x:v>
      </x:c>
      <x:c r="B13" s="30" t="str">
        <x:v>متحفظ</x:v>
      </x:c>
      <x:c r="C13" s="30" t="str">
        <x:v>أساسي</x:v>
      </x:c>
      <x:c r="D13" s="30" t="str">
        <x:v>متفائل</x:v>
      </x:c>
      <x:c r="E13" s="26"/>
      <x:c r="F13" s="26"/>
      <x:c r="G13" s="26"/>
      <x:c r="H13" s="26"/>
    </x:row>
    <x:row r="14" ht="15" hidden="0" customHeight="1">
      <x:c r="A14" s="26" t="str">
        <x:v>إجمالي الإيراد</x:v>
      </x:c>
      <x:c r="B14" s="29" t="n">
        <x:f>'Unit Economics'!C23</x:f>
        <x:v>63750</x:v>
      </x:c>
      <x:c r="C14" s="29" t="n">
        <x:f>'Unit Economics'!D23</x:f>
        <x:v>150000</x:v>
      </x:c>
      <x:c r="D14" s="29" t="n">
        <x:f>'Unit Economics'!E23</x:f>
        <x:v>288000</x:v>
      </x:c>
      <x:c r="E14" s="26"/>
      <x:c r="F14" s="26"/>
      <x:c r="G14" s="26"/>
      <x:c r="H14" s="26"/>
    </x:row>
    <x:row r="15" ht="15" hidden="0" customHeight="1">
      <x:c r="A15" s="26" t="str">
        <x:v>الالتزام الأقصى لخصومات عمران</x:v>
      </x:c>
      <x:c r="B15" s="29" t="n">
        <x:f>'Unit Economics'!C24</x:f>
        <x:v>62500</x:v>
      </x:c>
      <x:c r="C15" s="29" t="n">
        <x:f>'Unit Economics'!D24</x:f>
        <x:v>100000</x:v>
      </x:c>
      <x:c r="D15" s="29" t="n">
        <x:f>'Unit Economics'!E24</x:f>
        <x:v>136000</x:v>
      </x:c>
      <x:c r="E15" s="26"/>
      <x:c r="F15" s="26"/>
      <x:c r="G15" s="26"/>
      <x:c r="H15" s="26"/>
    </x:row>
    <x:row r="16" ht="15" hidden="0" customHeight="1">
      <x:c r="A16" s="26" t="str">
        <x:v>النتيجة بعد تكلفة التأسيس</x:v>
      </x:c>
      <x:c r="B16" s="29" t="n">
        <x:f>'Unit Economics'!C25</x:f>
        <x:v>-91170</x:v>
      </x:c>
      <x:c r="C16" s="29" t="n">
        <x:f>'Unit Economics'!D25</x:f>
        <x:v>-31500</x:v>
      </x:c>
      <x:c r="D16" s="29" t="n">
        <x:f>'Unit Economics'!E25</x:f>
        <x:v>107650</x:v>
      </x:c>
      <x:c r="E16" s="26"/>
      <x:c r="F16" s="26"/>
      <x:c r="G16" s="26"/>
      <x:c r="H16" s="26"/>
    </x:row>
    <x:row r="17" ht="15" hidden="0" customHeight="1">
      <x:c r="A17" s="26" t="str">
        <x:v>كروت نقطة التعادل</x:v>
      </x:c>
      <x:c r="B17" s="29" t="n">
        <x:f>'Unit Economics'!C26</x:f>
        <x:v>0</x:v>
      </x:c>
      <x:c r="C17" s="29" t="n">
        <x:f>'Unit Economics'!D26</x:f>
        <x:v>0</x:v>
      </x:c>
      <x:c r="D17" s="29" t="n">
        <x:f>'Unit Economics'!E26</x:f>
        <x:v>204</x:v>
      </x:c>
      <x:c r="E17" s="26"/>
      <x:c r="F17" s="26"/>
      <x:c r="G17" s="26"/>
      <x:c r="H17" s="26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</x:row>
    <x:row r="19" ht="34" hidden="0" customHeight="1">
      <x:c r="A19" s="31" t="str">
        <x:v>قرار التسعير</x:v>
      </x:c>
      <x:c r="B19" s="32" t="str">
        <x:v>لا يعتمد السعر النهائي من هذا الملف وحده</x:v>
      </x:c>
      <x:c r="C19" s="32"/>
      <x:c r="D19" s="32"/>
      <x:c r="E19" s="26"/>
      <x:c r="F19" s="26"/>
      <x:c r="G19" s="26"/>
      <x:c r="H19" s="26"/>
    </x:row>
    <x:row r="20" ht="34" hidden="0" customHeight="1">
      <x:c r="A20" s="31" t="str">
        <x:v>قاعدة الاعتماد</x:v>
      </x:c>
      <x:c r="B20" s="32" t="str">
        <x:v>يجب أن تبقى المساهمة موجبة في اختبار أقصى استخدام أو تعتمد الإدارة الاستثناء كتابة</x:v>
      </x:c>
      <x:c r="C20" s="32"/>
      <x:c r="D20" s="32"/>
      <x:c r="E20" s="26"/>
      <x:c r="F20" s="26"/>
      <x:c r="G20" s="26"/>
      <x:c r="H20" s="26"/>
    </x:row>
    <x:row r="21" ht="34" hidden="0" customHeight="1">
      <x:c r="A21" s="31" t="str">
        <x:v>تكلفة الشركاء</x:v>
      </x:c>
      <x:c r="B21" s="32" t="str">
        <x:v>خصم الشريك لا يدخل تكلفة عمران إلا إذا نص الاتفاق على تحمل عمران له</x:v>
      </x:c>
      <x:c r="C21" s="32"/>
      <x:c r="D21" s="32"/>
      <x:c r="E21" s="26"/>
      <x:c r="F21" s="26"/>
      <x:c r="G21" s="26"/>
      <x:c r="H21" s="26"/>
    </x:row>
    <x:row r="22" ht="34" hidden="0" customHeight="1">
      <x:c r="A22" s="31" t="str">
        <x:v>النقاط</x:v>
      </x:c>
      <x:c r="B22" s="32" t="str">
        <x:v>تظل صفرًا أو غير مفعلة إلى أن تعتمد قيمة النقطة ودورة المرتجع</x:v>
      </x:c>
      <x:c r="C22" s="32"/>
      <x:c r="D22" s="32"/>
      <x:c r="E22" s="26"/>
      <x:c r="F22" s="26"/>
      <x:c r="G22" s="26"/>
      <x:c r="H22" s="26"/>
    </x:row>
    <x:row r="23" ht="15" hidden="0" customHeight="1">
      <x:c r="A23" s="26"/>
      <x:c r="B23" s="26"/>
      <x:c r="C23" s="26"/>
      <x:c r="D23" s="26"/>
      <x:c r="E23" s="26"/>
      <x:c r="F23" s="26"/>
      <x:c r="G23" s="26"/>
      <x:c r="H23" s="26"/>
    </x:row>
    <x:row r="24" ht="15" hidden="0" customHeight="1">
      <x:c r="A24" s="8" t="str">
        <x:v>الحد الأدنى المقترح للدراسة</x:v>
      </x:c>
      <x:c r="B24" s="8" t="str">
        <x:v>متحفظ</x:v>
      </x:c>
      <x:c r="C24" s="8" t="str">
        <x:v>أساسي</x:v>
      </x:c>
      <x:c r="D24" s="8" t="str">
        <x:v>متفائل</x:v>
      </x:c>
      <x:c r="E24" s="26"/>
      <x:c r="F24" s="26"/>
      <x:c r="G24" s="26"/>
      <x:c r="H24" s="26"/>
    </x:row>
    <x:row r="25" ht="15" hidden="0" customHeight="1">
      <x:c r="A25" s="26" t="str">
        <x:v>VIP — تكلفة متوقعة + هامش أمان</x:v>
      </x:c>
      <x:c r="B25" s="29" t="n">
        <x:f>'Unit Economics'!C7+'Unit Economics'!C8+'Unit Economics'!C9+'Unit Economics'!C10-Assumptions!C12</x:f>
        <x:v>496.8</x:v>
      </x:c>
      <x:c r="C25" s="29" t="n">
        <x:f>'Unit Economics'!D7+'Unit Economics'!D8+'Unit Economics'!D9+'Unit Economics'!D10-Assumptions!D12</x:f>
        <x:v>306.25</x:v>
      </x:c>
      <x:c r="D25" s="29" t="n">
        <x:f>'Unit Economics'!E7+'Unit Economics'!E8+'Unit Economics'!E9+'Unit Economics'!E10-Assumptions!E12</x:f>
        <x:v>187.9</x:v>
      </x:c>
      <x:c r="E25" s="26"/>
      <x:c r="F25" s="26"/>
      <x:c r="G25" s="26"/>
      <x:c r="H25" s="26"/>
    </x:row>
    <x:row r="26" ht="15" hidden="0" customHeight="1">
      <x:c r="A26" s="26" t="str">
        <x:v>VIP — أقصى استخدام + هامش أمان</x:v>
      </x:c>
      <x:c r="B26" s="29" t="n">
        <x:f>'Unit Economics'!C7+Assumptions!C13+Assumptions!C15+'Unit Economics'!C10-Assumptions!C12</x:f>
        <x:v>567.8</x:v>
      </x:c>
      <x:c r="C26" s="29" t="n">
        <x:f>'Unit Economics'!D7+Assumptions!D13+Assumptions!D15+'Unit Economics'!D10-Assumptions!D12</x:f>
        <x:v>411.25</x:v>
      </x:c>
      <x:c r="D26" s="29" t="n">
        <x:f>'Unit Economics'!E7+Assumptions!E13+Assumptions!E15+'Unit Economics'!E10-Assumptions!E12</x:f>
        <x:v>301.9</x:v>
      </x:c>
      <x:c r="E26" s="26"/>
      <x:c r="F26" s="26"/>
      <x:c r="G26" s="26"/>
      <x:c r="H26" s="26"/>
    </x:row>
    <x:row r="27" ht="15" hidden="0" customHeight="1">
      <x:c r="A27" s="26" t="str">
        <x:v>Silver — تكلفة متوقعة + هامش أمان</x:v>
      </x:c>
      <x:c r="B27" s="29" t="n">
        <x:f>'Unit Economics'!C16+'Unit Economics'!C17+'Unit Economics'!C18+'Unit Economics'!C19-Assumptions!C24</x:f>
        <x:v>201.6</x:v>
      </x:c>
      <x:c r="C27" s="29" t="n">
        <x:f>'Unit Economics'!D16+'Unit Economics'!D17+'Unit Economics'!D18+'Unit Economics'!D19-Assumptions!D24</x:f>
        <x:v>129.25</x:v>
      </x:c>
      <x:c r="D27" s="29" t="n">
        <x:f>'Unit Economics'!E16+'Unit Economics'!E17+'Unit Economics'!E18+'Unit Economics'!E19-Assumptions!E24</x:f>
        <x:v>83</x:v>
      </x:c>
      <x:c r="E27" s="26"/>
      <x:c r="F27" s="26"/>
      <x:c r="G27" s="26"/>
      <x:c r="H27" s="26"/>
    </x:row>
    <x:row r="28" ht="15" hidden="0" customHeight="1">
      <x:c r="A28" s="26" t="str">
        <x:v>Silver — أقصى استخدام + هامش أمان</x:v>
      </x:c>
      <x:c r="B28" s="29" t="n">
        <x:f>'Unit Economics'!C16+Assumptions!C25+Assumptions!C27+'Unit Economics'!C19-Assumptions!C24</x:f>
        <x:v>211.6</x:v>
      </x:c>
      <x:c r="C28" s="29" t="n">
        <x:f>'Unit Economics'!D16+Assumptions!D25+Assumptions!D27+'Unit Economics'!D19-Assumptions!D24</x:f>
        <x:v>153.25</x:v>
      </x:c>
      <x:c r="D28" s="29" t="n">
        <x:f>'Unit Economics'!E16+Assumptions!E25+Assumptions!E27+'Unit Economics'!E19-Assumptions!E24</x:f>
        <x:v>118</x:v>
      </x:c>
      <x:c r="E28" s="26"/>
      <x:c r="F28" s="26"/>
      <x:c r="G28" s="26"/>
      <x:c r="H28" s="26"/>
    </x:row>
    <x:row r="29" ht="15" hidden="0" customHeight="1">
      <x:c r="A29" s="26"/>
      <x:c r="B29" s="26"/>
      <x:c r="C29" s="26"/>
      <x:c r="D29" s="26"/>
      <x:c r="E29" s="26"/>
      <x:c r="F29" s="26"/>
      <x:c r="G29" s="26"/>
      <x:c r="H29" s="26"/>
    </x:row>
    <x:row r="30" ht="15" hidden="0" customHeight="1">
      <x:c r="A30" s="26"/>
      <x:c r="B30" s="26"/>
      <x:c r="C30" s="26"/>
      <x:c r="D30" s="26"/>
      <x:c r="E30" s="26"/>
      <x:c r="F30" s="26"/>
      <x:c r="G30" s="26"/>
      <x:c r="H30" s="26"/>
    </x:row>
    <x:row r="31" ht="15" hidden="0" customHeight="1">
      <x:c r="A31" s="26"/>
      <x:c r="B31" s="26"/>
      <x:c r="C31" s="26"/>
      <x:c r="D31" s="26"/>
      <x:c r="E31" s="26"/>
      <x:c r="F31" s="26"/>
      <x:c r="G31" s="26"/>
      <x:c r="H31" s="26"/>
    </x:row>
    <x:row r="32" ht="15" hidden="0" customHeight="1">
      <x:c r="A32" s="26"/>
      <x:c r="B32" s="26"/>
      <x:c r="C32" s="26"/>
      <x:c r="D32" s="26"/>
      <x:c r="E32" s="26"/>
      <x:c r="F32" s="26"/>
      <x:c r="G32" s="26"/>
      <x:c r="H32" s="26"/>
    </x:row>
    <x:row r="33" ht="15" hidden="0" customHeight="1">
      <x:c r="A33" s="26"/>
      <x:c r="B33" s="26"/>
      <x:c r="C33" s="26"/>
      <x:c r="D33" s="26"/>
      <x:c r="E33" s="26"/>
      <x:c r="F33" s="26"/>
      <x:c r="G33" s="26"/>
      <x:c r="H33" s="26"/>
    </x:row>
    <x:row r="34" ht="15" hidden="0" customHeight="1">
      <x:c r="A34" s="26"/>
      <x:c r="B34" s="26"/>
      <x:c r="C34" s="26"/>
      <x:c r="D34" s="26"/>
      <x:c r="E34" s="26"/>
      <x:c r="F34" s="26"/>
      <x:c r="G34" s="26"/>
      <x:c r="H34" s="26"/>
    </x:row>
    <x:row r="35" ht="15" hidden="0" customHeight="1">
      <x:c r="A35" s="26"/>
      <x:c r="B35" s="26"/>
      <x:c r="C35" s="26"/>
      <x:c r="D35" s="26"/>
      <x:c r="E35" s="26"/>
      <x:c r="F35" s="26"/>
      <x:c r="G35" s="26"/>
      <x:c r="H35" s="26"/>
    </x:row>
    <x:row r="36" ht="15" hidden="0" customHeight="1">
      <x:c r="A36" s="26"/>
      <x:c r="B36" s="26"/>
      <x:c r="C36" s="26"/>
      <x:c r="D36" s="26"/>
      <x:c r="E36" s="26"/>
      <x:c r="F36" s="26"/>
      <x:c r="G36" s="26"/>
      <x:c r="H36" s="26"/>
    </x:row>
    <x:row r="37" ht="15" hidden="0" customHeight="1">
      <x:c r="A37" s="26"/>
      <x:c r="B37" s="26"/>
      <x:c r="C37" s="26"/>
      <x:c r="D37" s="26"/>
      <x:c r="E37" s="26"/>
      <x:c r="F37" s="26"/>
      <x:c r="G37" s="26"/>
      <x:c r="H37" s="26"/>
    </x:row>
    <x:row r="38" ht="15" hidden="0" customHeight="1">
      <x:c r="A38" s="26"/>
      <x:c r="B38" s="26"/>
      <x:c r="C38" s="26"/>
      <x:c r="D38" s="26"/>
      <x:c r="E38" s="26"/>
      <x:c r="F38" s="26"/>
      <x:c r="G38" s="26"/>
      <x:c r="H38" s="26"/>
    </x:row>
    <x:row r="39" ht="15" hidden="0" customHeight="1">
      <x:c r="A39" s="26"/>
      <x:c r="B39" s="26"/>
      <x:c r="C39" s="26"/>
      <x:c r="D39" s="26"/>
      <x:c r="E39" s="26"/>
      <x:c r="F39" s="26"/>
      <x:c r="G39" s="26"/>
      <x:c r="H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15" hidden="0" customHeight="1">
      <x:c r="A1" s="26"/>
      <x:c r="B1" s="26"/>
      <x:c r="C1" s="26"/>
      <x:c r="D1" s="26"/>
      <x:c r="E1" s="26"/>
      <x:c r="F1" s="26"/>
      <x:c r="G1" s="26"/>
      <x:c r="H1" s="26"/>
    </x:row>
    <x:row r="2" ht="18" hidden="0" customHeight="1">
      <x:c r="A2" s="27" t="str">
        <x:v>Omran VIP Card Program — افتراضات النموذج المالي</x:v>
      </x:c>
      <x:c r="B2" s="27"/>
      <x:c r="C2" s="27"/>
      <x:c r="D2" s="27"/>
      <x:c r="E2" s="27"/>
      <x:c r="F2" s="26"/>
      <x:c r="G2" s="26"/>
      <x:c r="H2" s="26"/>
    </x:row>
    <x:row r="3" ht="15" hidden="0" customHeight="1">
      <x:c r="A3" s="28" t="str">
        <x:v>الحالة</x:v>
      </x:c>
      <x:c r="B3" s="28" t="str">
        <x:v>DRAFT — جميع القيم أمثلة قابلة للتعديل وغير معتمدة للبيع</x:v>
      </x:c>
      <x:c r="C3" s="28"/>
      <x:c r="D3" s="28"/>
      <x:c r="E3" s="28"/>
      <x:c r="F3" s="26"/>
      <x:c r="G3" s="26"/>
      <x:c r="H3" s="26"/>
    </x:row>
    <x:row r="4" ht="15" hidden="0" customHeight="1">
      <x:c r="A4" s="26"/>
      <x:c r="B4" s="26"/>
      <x:c r="C4" s="26"/>
      <x:c r="D4" s="26"/>
      <x:c r="E4" s="26"/>
      <x:c r="F4" s="26"/>
      <x:c r="G4" s="26"/>
      <x:c r="H4" s="26"/>
    </x:row>
    <x:row r="5" ht="15" hidden="0" customHeight="1">
      <x:c r="A5" s="8" t="str">
        <x:v>البند</x:v>
      </x:c>
      <x:c r="B5" s="8" t="str">
        <x:v>الوحدة</x:v>
      </x:c>
      <x:c r="C5" s="8" t="str">
        <x:v>متحفظ</x:v>
      </x:c>
      <x:c r="D5" s="8" t="str">
        <x:v>أساسي</x:v>
      </x:c>
      <x:c r="E5" s="8" t="str">
        <x:v>متفائل</x:v>
      </x:c>
      <x:c r="F5" s="26"/>
      <x:c r="G5" s="26"/>
      <x:c r="H5" s="26"/>
    </x:row>
    <x:row r="6" ht="15" hidden="0" customHeight="1">
      <x:c r="A6" s="26" t="str">
        <x:v>تكلفة تأسيس البرنامج</x:v>
      </x:c>
      <x:c r="B6" s="26" t="str">
        <x:v>EGP</x:v>
      </x:c>
      <x:c r="C6" s="33" t="n">
        <x:v>30000</x:v>
      </x:c>
      <x:c r="D6" s="33" t="n">
        <x:v>25000</x:v>
      </x:c>
      <x:c r="E6" s="33" t="n">
        <x:v>20000</x:v>
      </x:c>
      <x:c r="F6" s="26"/>
      <x:c r="G6" s="26"/>
      <x:c r="H6" s="26"/>
    </x:row>
    <x:row r="7" ht="15" hidden="0" customHeight="1">
      <x:c r="A7" s="26" t="str">
        <x:v>عدد كروت VIP المباعة</x:v>
      </x:c>
      <x:c r="B7" s="26" t="str">
        <x:v>كارت</x:v>
      </x:c>
      <x:c r="C7" s="33" t="n">
        <x:v>150</x:v>
      </x:c>
      <x:c r="D7" s="33" t="n">
        <x:v>300</x:v>
      </x:c>
      <x:c r="E7" s="33" t="n">
        <x:v>500</x:v>
      </x:c>
      <x:c r="F7" s="26"/>
      <x:c r="G7" s="26"/>
      <x:c r="H7" s="26"/>
    </x:row>
    <x:row r="8" ht="15" hidden="0" customHeight="1">
      <x:c r="A8" s="26" t="str">
        <x:v>سعر بيع VIP</x:v>
      </x:c>
      <x:c r="B8" s="26" t="str">
        <x:v>EGP/كارت</x:v>
      </x:c>
      <x:c r="C8" s="33" t="n">
        <x:v>300</x:v>
      </x:c>
      <x:c r="D8" s="33" t="n">
        <x:v>350</x:v>
      </x:c>
      <x:c r="E8" s="33" t="n">
        <x:v>400</x:v>
      </x:c>
      <x:c r="F8" s="26"/>
      <x:c r="G8" s="26"/>
      <x:c r="H8" s="26"/>
    </x:row>
    <x:row r="9" ht="15" hidden="0" customHeight="1">
      <x:c r="A9" s="26" t="str">
        <x:v>تصميم وطباعة VIP</x:v>
      </x:c>
      <x:c r="B9" s="26" t="str">
        <x:v>EGP/كارت</x:v>
      </x:c>
      <x:c r="C9" s="33" t="n">
        <x:v>55</x:v>
      </x:c>
      <x:c r="D9" s="33" t="n">
        <x:v>45</x:v>
      </x:c>
      <x:c r="E9" s="33" t="n">
        <x:v>38</x:v>
      </x:c>
      <x:c r="F9" s="26"/>
      <x:c r="G9" s="26"/>
      <x:c r="H9" s="26"/>
    </x:row>
    <x:row r="10" ht="15" hidden="0" customHeight="1">
      <x:c r="A10" s="26" t="str">
        <x:v>تشغيل وQR وإدارة VIP</x:v>
      </x:c>
      <x:c r="B10" s="26" t="str">
        <x:v>EGP/كارت</x:v>
      </x:c>
      <x:c r="C10" s="33" t="n">
        <x:v>30</x:v>
      </x:c>
      <x:c r="D10" s="33" t="n">
        <x:v>25</x:v>
      </x:c>
      <x:c r="E10" s="33" t="n">
        <x:v>20</x:v>
      </x:c>
      <x:c r="F10" s="26"/>
      <x:c r="G10" s="26"/>
      <x:c r="H10" s="26"/>
    </x:row>
    <x:row r="11" ht="15" hidden="0" customHeight="1">
      <x:c r="A11" s="26" t="str">
        <x:v>تكلفة اكتساب عميل VIP</x:v>
      </x:c>
      <x:c r="B11" s="26" t="str">
        <x:v>EGP/كارت</x:v>
      </x:c>
      <x:c r="C11" s="33" t="n">
        <x:v>60</x:v>
      </x:c>
      <x:c r="D11" s="33" t="n">
        <x:v>45</x:v>
      </x:c>
      <x:c r="E11" s="33" t="n">
        <x:v>35</x:v>
      </x:c>
      <x:c r="F11" s="26"/>
      <x:c r="G11" s="26"/>
      <x:c r="H11" s="26"/>
    </x:row>
    <x:row r="12" ht="15" hidden="0" customHeight="1">
      <x:c r="A12" s="26" t="str">
        <x:v>مساهمة/رسوم شركاء VIP</x:v>
      </x:c>
      <x:c r="B12" s="26" t="str">
        <x:v>EGP/كارت</x:v>
      </x:c>
      <x:c r="C12" s="33" t="n">
        <x:v>0</x:v>
      </x:c>
      <x:c r="D12" s="33" t="n">
        <x:v>10</x:v>
      </x:c>
      <x:c r="E12" s="33" t="n">
        <x:v>20</x:v>
      </x:c>
      <x:c r="F12" s="26"/>
      <x:c r="G12" s="26"/>
      <x:c r="H12" s="26"/>
    </x:row>
    <x:row r="13" ht="15" hidden="0" customHeight="1">
      <x:c r="A13" s="26" t="str">
        <x:v>أقصى خصم تتحمله عمران VIP</x:v>
      </x:c>
      <x:c r="B13" s="26" t="str">
        <x:v>EGP/كارت</x:v>
      </x:c>
      <x:c r="C13" s="33" t="n">
        <x:v>250</x:v>
      </x:c>
      <x:c r="D13" s="33" t="n">
        <x:v>200</x:v>
      </x:c>
      <x:c r="E13" s="33" t="n">
        <x:v>160</x:v>
      </x:c>
      <x:c r="F13" s="26"/>
      <x:c r="G13" s="26"/>
      <x:c r="H13" s="26"/>
    </x:row>
    <x:row r="14" ht="15" hidden="0" customHeight="1">
      <x:c r="A14" s="26" t="str">
        <x:v>نسبة استخدام خصم عمران VIP</x:v>
      </x:c>
      <x:c r="B14" s="26" t="str">
        <x:v>%</x:v>
      </x:c>
      <x:c r="C14" s="34" t="n">
        <x:v>0.8</x:v>
      </x:c>
      <x:c r="D14" s="34" t="n">
        <x:v>0.6</x:v>
      </x:c>
      <x:c r="E14" s="34" t="n">
        <x:v>0.45</x:v>
      </x:c>
      <x:c r="F14" s="26"/>
      <x:c r="G14" s="26"/>
      <x:c r="H14" s="26"/>
    </x:row>
    <x:row r="15" ht="15" hidden="0" customHeight="1">
      <x:c r="A15" s="26" t="str">
        <x:v>أقصى التزام نقاط VIP</x:v>
      </x:c>
      <x:c r="B15" s="26" t="str">
        <x:v>EGP/كارت</x:v>
      </x:c>
      <x:c r="C15" s="33" t="n">
        <x:v>70</x:v>
      </x:c>
      <x:c r="D15" s="33" t="n">
        <x:v>50</x:v>
      </x:c>
      <x:c r="E15" s="33" t="n">
        <x:v>40</x:v>
      </x:c>
      <x:c r="F15" s="26"/>
      <x:c r="G15" s="26"/>
      <x:c r="H15" s="26"/>
    </x:row>
    <x:row r="16" ht="15" hidden="0" customHeight="1">
      <x:c r="A16" s="26" t="str">
        <x:v>نسبة استخدام النقاط VIP</x:v>
      </x:c>
      <x:c r="B16" s="26" t="str">
        <x:v>%</x:v>
      </x:c>
      <x:c r="C16" s="33" t="n">
        <x:v>0.7</x:v>
      </x:c>
      <x:c r="D16" s="33" t="n">
        <x:v>0.5</x:v>
      </x:c>
      <x:c r="E16" s="33" t="n">
        <x:v>0.35</x:v>
      </x:c>
      <x:c r="F16" s="26"/>
      <x:c r="G16" s="26"/>
      <x:c r="H16" s="26"/>
    </x:row>
    <x:row r="17" ht="15" hidden="0" customHeight="1">
      <x:c r="A17" s="26" t="str">
        <x:v>احتياطي فقد/استبدال VIP</x:v>
      </x:c>
      <x:c r="B17" s="26" t="str">
        <x:v>EGP/كارت</x:v>
      </x:c>
      <x:c r="C17" s="33" t="n">
        <x:v>20</x:v>
      </x:c>
      <x:c r="D17" s="33" t="n">
        <x:v>15</x:v>
      </x:c>
      <x:c r="E17" s="33" t="n">
        <x:v>10</x:v>
      </x:c>
      <x:c r="F17" s="26"/>
      <x:c r="G17" s="26"/>
      <x:c r="H17" s="26"/>
    </x:row>
    <x:row r="18" ht="15" hidden="0" customHeight="1">
      <x:c r="A18" s="26" t="str">
        <x:v>هامش أمان VIP</x:v>
      </x:c>
      <x:c r="B18" s="26" t="str">
        <x:v>% من التكلفة</x:v>
      </x:c>
      <x:c r="C18" s="34" t="n">
        <x:v>0.2</x:v>
      </x:c>
      <x:c r="D18" s="34" t="n">
        <x:v>0.15</x:v>
      </x:c>
      <x:c r="E18" s="34" t="n">
        <x:v>0.1</x:v>
      </x:c>
      <x:c r="F18" s="26"/>
      <x:c r="G18" s="26"/>
      <x:c r="H18" s="26"/>
    </x:row>
    <x:row r="19" ht="15" hidden="0" customHeight="1">
      <x:c r="A19" s="26" t="str">
        <x:v>عدد كروت Silver المباعة</x:v>
      </x:c>
      <x:c r="B19" s="26" t="str">
        <x:v>كارت</x:v>
      </x:c>
      <x:c r="C19" s="33" t="n">
        <x:v>250</x:v>
      </x:c>
      <x:c r="D19" s="33" t="n">
        <x:v>500</x:v>
      </x:c>
      <x:c r="E19" s="33" t="n">
        <x:v>800</x:v>
      </x:c>
      <x:c r="F19" s="26"/>
      <x:c r="G19" s="26"/>
      <x:c r="H19" s="26"/>
    </x:row>
    <x:row r="20" ht="15" hidden="0" customHeight="1">
      <x:c r="A20" s="26" t="str">
        <x:v>سعر بيع Silver</x:v>
      </x:c>
      <x:c r="B20" s="26" t="str">
        <x:v>EGP/كارت</x:v>
      </x:c>
      <x:c r="C20" s="33" t="n">
        <x:v>75</x:v>
      </x:c>
      <x:c r="D20" s="33" t="n">
        <x:v>90</x:v>
      </x:c>
      <x:c r="E20" s="33" t="n">
        <x:v>110</x:v>
      </x:c>
      <x:c r="F20" s="26"/>
      <x:c r="G20" s="26"/>
      <x:c r="H20" s="26"/>
    </x:row>
    <x:row r="21" ht="15" hidden="0" customHeight="1">
      <x:c r="A21" s="26" t="str">
        <x:v>تصميم وطباعة Silver</x:v>
      </x:c>
      <x:c r="B21" s="26" t="str">
        <x:v>EGP/كارت</x:v>
      </x:c>
      <x:c r="C21" s="33" t="n">
        <x:v>30</x:v>
      </x:c>
      <x:c r="D21" s="33" t="n">
        <x:v>24</x:v>
      </x:c>
      <x:c r="E21" s="33" t="n">
        <x:v>20</x:v>
      </x:c>
      <x:c r="F21" s="26"/>
      <x:c r="G21" s="26"/>
      <x:c r="H21" s="26"/>
    </x:row>
    <x:row r="22" ht="15" hidden="0" customHeight="1">
      <x:c r="A22" s="26" t="str">
        <x:v>تشغيل وQR وإدارة Silver</x:v>
      </x:c>
      <x:c r="B22" s="26" t="str">
        <x:v>EGP/كارت</x:v>
      </x:c>
      <x:c r="C22" s="33" t="n">
        <x:v>15</x:v>
      </x:c>
      <x:c r="D22" s="33" t="n">
        <x:v>12</x:v>
      </x:c>
      <x:c r="E22" s="33" t="n">
        <x:v>10</x:v>
      </x:c>
      <x:c r="F22" s="26"/>
      <x:c r="G22" s="26"/>
      <x:c r="H22" s="26"/>
    </x:row>
    <x:row r="23" ht="15" hidden="0" customHeight="1">
      <x:c r="A23" s="26" t="str">
        <x:v>تكلفة اكتساب عميل Silver</x:v>
      </x:c>
      <x:c r="B23" s="26" t="str">
        <x:v>EGP/كارت</x:v>
      </x:c>
      <x:c r="C23" s="33" t="n">
        <x:v>25</x:v>
      </x:c>
      <x:c r="D23" s="33" t="n">
        <x:v>18</x:v>
      </x:c>
      <x:c r="E23" s="33" t="n">
        <x:v>12</x:v>
      </x:c>
      <x:c r="F23" s="26"/>
      <x:c r="G23" s="26"/>
      <x:c r="H23" s="26"/>
    </x:row>
    <x:row r="24" ht="15" hidden="0" customHeight="1">
      <x:c r="A24" s="26" t="str">
        <x:v>مساهمة/رسوم شركاء Silver</x:v>
      </x:c>
      <x:c r="B24" s="26" t="str">
        <x:v>EGP/كارت</x:v>
      </x:c>
      <x:c r="C24" s="33" t="n">
        <x:v>0</x:v>
      </x:c>
      <x:c r="D24" s="33" t="n">
        <x:v>3</x:v>
      </x:c>
      <x:c r="E24" s="33" t="n">
        <x:v>5</x:v>
      </x:c>
      <x:c r="F24" s="26"/>
      <x:c r="G24" s="26"/>
      <x:c r="H24" s="26"/>
    </x:row>
    <x:row r="25" ht="15" hidden="0" customHeight="1">
      <x:c r="A25" s="26" t="str">
        <x:v>أقصى خصم تتحمله عمران Silver</x:v>
      </x:c>
      <x:c r="B25" s="26" t="str">
        <x:v>EGP/كارت</x:v>
      </x:c>
      <x:c r="C25" s="33" t="n">
        <x:v>100</x:v>
      </x:c>
      <x:c r="D25" s="33" t="n">
        <x:v>80</x:v>
      </x:c>
      <x:c r="E25" s="33" t="n">
        <x:v>70</x:v>
      </x:c>
      <x:c r="F25" s="26"/>
      <x:c r="G25" s="26"/>
      <x:c r="H25" s="26"/>
    </x:row>
    <x:row r="26" ht="15" hidden="0" customHeight="1">
      <x:c r="A26" s="26" t="str">
        <x:v>نسبة استخدام خصم عمران Silver</x:v>
      </x:c>
      <x:c r="B26" s="26" t="str">
        <x:v>%</x:v>
      </x:c>
      <x:c r="C26" s="34" t="n">
        <x:v>0.9</x:v>
      </x:c>
      <x:c r="D26" s="34" t="n">
        <x:v>0.7</x:v>
      </x:c>
      <x:c r="E26" s="34" t="n">
        <x:v>0.5</x:v>
      </x:c>
      <x:c r="F26" s="26"/>
      <x:c r="G26" s="26"/>
      <x:c r="H26" s="26"/>
    </x:row>
    <x:row r="27" ht="15" hidden="0" customHeight="1">
      <x:c r="A27" s="26" t="str">
        <x:v>أقصى التزام نقاط Silver</x:v>
      </x:c>
      <x:c r="B27" s="26" t="str">
        <x:v>EGP/كارت</x:v>
      </x:c>
      <x:c r="C27" s="33" t="n">
        <x:v>0</x:v>
      </x:c>
      <x:c r="D27" s="33" t="n">
        <x:v>0</x:v>
      </x:c>
      <x:c r="E27" s="33" t="n">
        <x:v>0</x:v>
      </x:c>
      <x:c r="F27" s="26"/>
      <x:c r="G27" s="26"/>
      <x:c r="H27" s="26"/>
    </x:row>
    <x:row r="28" ht="15" hidden="0" customHeight="1">
      <x:c r="A28" s="26" t="str">
        <x:v>نسبة استخدام النقاط Silver</x:v>
      </x:c>
      <x:c r="B28" s="26" t="str">
        <x:v>%</x:v>
      </x:c>
      <x:c r="C28" s="34" t="n">
        <x:v>0</x:v>
      </x:c>
      <x:c r="D28" s="34" t="n">
        <x:v>0</x:v>
      </x:c>
      <x:c r="E28" s="34" t="n">
        <x:v>0</x:v>
      </x:c>
      <x:c r="F28" s="26"/>
      <x:c r="G28" s="26"/>
      <x:c r="H28" s="26"/>
    </x:row>
    <x:row r="29" ht="15" hidden="0" customHeight="1">
      <x:c r="A29" s="26" t="str">
        <x:v>احتياطي فقد/استبدال Silver</x:v>
      </x:c>
      <x:c r="B29" s="26" t="str">
        <x:v>EGP/كارت</x:v>
      </x:c>
      <x:c r="C29" s="33" t="n">
        <x:v>8</x:v>
      </x:c>
      <x:c r="D29" s="33" t="n">
        <x:v>5</x:v>
      </x:c>
      <x:c r="E29" s="33" t="n">
        <x:v>3</x:v>
      </x:c>
      <x:c r="F29" s="26"/>
      <x:c r="G29" s="26"/>
      <x:c r="H29" s="26"/>
    </x:row>
    <x:row r="30" ht="15" hidden="0" customHeight="1">
      <x:c r="A30" s="26" t="str">
        <x:v>هامش أمان Silver</x:v>
      </x:c>
      <x:c r="B30" s="26" t="str">
        <x:v>% من التكلفة</x:v>
      </x:c>
      <x:c r="C30" s="34" t="n">
        <x:v>0.2</x:v>
      </x:c>
      <x:c r="D30" s="34" t="n">
        <x:v>0.15</x:v>
      </x:c>
      <x:c r="E30" s="34" t="n">
        <x:v>0.1</x:v>
      </x:c>
      <x:c r="F30" s="26"/>
      <x:c r="G30" s="26"/>
      <x:c r="H30" s="26"/>
    </x:row>
    <x:row r="31" ht="15" hidden="0" customHeight="1">
      <x:c r="A31" s="26"/>
      <x:c r="B31" s="26"/>
      <x:c r="C31" s="26"/>
      <x:c r="D31" s="26"/>
      <x:c r="E31" s="26"/>
      <x:c r="F31" s="26"/>
      <x:c r="G31" s="26"/>
      <x:c r="H31" s="26"/>
    </x:row>
    <x:row r="32" ht="15" hidden="0" customHeight="1">
      <x:c r="A32" s="35" t="str">
        <x:v>ملاحظات الاستخدام</x:v>
      </x:c>
      <x:c r="B32" s="35"/>
      <x:c r="C32" s="35"/>
      <x:c r="D32" s="35"/>
      <x:c r="E32" s="35"/>
      <x:c r="F32" s="26"/>
      <x:c r="G32" s="26"/>
      <x:c r="H32" s="26"/>
    </x:row>
    <x:row r="33" ht="15" hidden="0" customHeight="1">
      <x:c r="A33" s="36" t="str">
        <x:v>عدّل الخلايا الصفراء فقط. الخصم الذي يتحمله الشريك لا يُسجل كتكلفة على عمران.</x:v>
      </x:c>
      <x:c r="B33" s="36"/>
      <x:c r="C33" s="36"/>
      <x:c r="D33" s="36"/>
      <x:c r="E33" s="36"/>
      <x:c r="F33" s="26"/>
      <x:c r="G33" s="26"/>
      <x:c r="H33" s="26"/>
    </x:row>
    <x:row r="34" ht="15" hidden="0" customHeight="1">
      <x:c r="A34" s="36" t="str">
        <x:v>نقطة التعادل تستخدم مساهمة الحالة بعد التكلفة المتوقعة. اختبار الحد الأقصى يستخدم الالتزام الأقصى كاملًا.</x:v>
      </x:c>
      <x:c r="B34" s="36"/>
      <x:c r="C34" s="36"/>
      <x:c r="D34" s="36"/>
      <x:c r="E34" s="36"/>
      <x:c r="F34" s="26"/>
      <x:c r="G34" s="26"/>
      <x:c r="H34" s="26"/>
    </x:row>
    <x:row r="35" ht="15" hidden="0" customHeight="1">
      <x:c r="A35" s="26"/>
      <x:c r="B35" s="26"/>
      <x:c r="C35" s="26"/>
      <x:c r="D35" s="26"/>
      <x:c r="E35" s="26"/>
      <x:c r="F35" s="26"/>
      <x:c r="G35" s="26"/>
      <x:c r="H35" s="26"/>
    </x:row>
    <x:row r="36" ht="15" hidden="0" customHeight="1">
      <x:c r="A36" s="26"/>
      <x:c r="B36" s="26"/>
      <x:c r="C36" s="26"/>
      <x:c r="D36" s="26"/>
      <x:c r="E36" s="26"/>
      <x:c r="F36" s="26"/>
      <x:c r="G36" s="26"/>
      <x:c r="H36" s="26"/>
    </x:row>
    <x:row r="37" ht="15" hidden="0" customHeight="1">
      <x:c r="A37" s="26"/>
      <x:c r="B37" s="26"/>
      <x:c r="C37" s="26"/>
      <x:c r="D37" s="26"/>
      <x:c r="E37" s="26"/>
      <x:c r="F37" s="26"/>
      <x:c r="G37" s="26"/>
      <x:c r="H37" s="26"/>
    </x:row>
    <x:row r="38" ht="15" hidden="0" customHeight="1">
      <x:c r="A38" s="26"/>
      <x:c r="B38" s="26"/>
      <x:c r="C38" s="26"/>
      <x:c r="D38" s="26"/>
      <x:c r="E38" s="26"/>
      <x:c r="F38" s="26"/>
      <x:c r="G38" s="26"/>
      <x:c r="H38" s="26"/>
    </x:row>
    <x:row r="39" ht="15" hidden="0" customHeight="1">
      <x:c r="A39" s="26"/>
      <x:c r="B39" s="26"/>
      <x:c r="C39" s="26"/>
      <x:c r="D39" s="26"/>
      <x:c r="E39" s="26"/>
      <x:c r="F39" s="26"/>
      <x:c r="G39" s="26"/>
      <x:c r="H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26"/>
      <x:c r="B1" s="26"/>
      <x:c r="C1" s="26"/>
      <x:c r="D1" s="26"/>
      <x:c r="E1" s="26"/>
      <x:c r="F1" s="26"/>
      <x:c r="G1" s="26"/>
      <x:c r="H1" s="26"/>
    </x:row>
    <x:row r="2" ht="18" hidden="0" customHeight="1">
      <x:c r="A2" s="27" t="str">
        <x:v>اقتصاديات الوحدة والسيناريوهات</x:v>
      </x:c>
      <x:c r="B2" s="27"/>
      <x:c r="C2" s="27"/>
      <x:c r="D2" s="27"/>
      <x:c r="E2" s="27"/>
      <x:c r="F2" s="26"/>
      <x:c r="G2" s="26"/>
      <x:c r="H2" s="26"/>
    </x:row>
    <x:row r="3" ht="15" hidden="0" customHeight="1">
      <x:c r="A3" s="26"/>
      <x:c r="B3" s="26"/>
      <x:c r="C3" s="26"/>
      <x:c r="D3" s="26"/>
      <x:c r="E3" s="26"/>
      <x:c r="F3" s="26"/>
      <x:c r="G3" s="26"/>
      <x:c r="H3" s="26"/>
    </x:row>
    <x:row r="4" ht="15" hidden="0" customHeight="1">
      <x:c r="A4" s="8" t="str">
        <x:v>نوع الكارت</x:v>
      </x:c>
      <x:c r="B4" s="8" t="str">
        <x:v>المؤشر</x:v>
      </x:c>
      <x:c r="C4" s="8" t="str">
        <x:v>متحفظ</x:v>
      </x:c>
      <x:c r="D4" s="8" t="str">
        <x:v>أساسي</x:v>
      </x:c>
      <x:c r="E4" s="8" t="str">
        <x:v>متفائل</x:v>
      </x:c>
      <x:c r="F4" s="26"/>
      <x:c r="G4" s="26"/>
      <x:c r="H4" s="26"/>
    </x:row>
    <x:row r="5" ht="15" hidden="0" customHeight="1">
      <x:c r="A5" s="37" t="str">
        <x:v>VIP</x:v>
      </x:c>
      <x:c r="B5" s="26" t="str">
        <x:v>الكروت المباعة</x:v>
      </x:c>
      <x:c r="C5" s="38" t="n">
        <x:f>Assumptions!C7</x:f>
        <x:v>150</x:v>
      </x:c>
      <x:c r="D5" s="38" t="n">
        <x:f>Assumptions!D7</x:f>
        <x:v>300</x:v>
      </x:c>
      <x:c r="E5" s="38" t="n">
        <x:f>Assumptions!E7</x:f>
        <x:v>500</x:v>
      </x:c>
      <x:c r="F5" s="26"/>
      <x:c r="G5" s="26"/>
      <x:c r="H5" s="26"/>
    </x:row>
    <x:row r="6" ht="15" hidden="0" customHeight="1">
      <x:c r="A6" s="37" t="str">
        <x:v>VIP</x:v>
      </x:c>
      <x:c r="B6" s="26" t="str">
        <x:v>إيراد بيع الكروت</x:v>
      </x:c>
      <x:c r="C6" s="38" t="n">
        <x:f>C5*Assumptions!C8</x:f>
        <x:v>45000</x:v>
      </x:c>
      <x:c r="D6" s="38" t="n">
        <x:f>D5*Assumptions!D8</x:f>
        <x:v>105000</x:v>
      </x:c>
      <x:c r="E6" s="38" t="n">
        <x:f>E5*Assumptions!E8</x:f>
        <x:v>200000</x:v>
      </x:c>
      <x:c r="F6" s="26"/>
      <x:c r="G6" s="26"/>
      <x:c r="H6" s="26"/>
    </x:row>
    <x:row r="7" ht="15" hidden="0" customHeight="1">
      <x:c r="A7" s="37" t="str">
        <x:v>VIP</x:v>
      </x:c>
      <x:c r="B7" s="26" t="str">
        <x:v>التكلفة المباشرة لكل كارت</x:v>
      </x:c>
      <x:c r="C7" s="38" t="n">
        <x:f>SUM(Assumptions!C9:C11)+Assumptions!C17</x:f>
        <x:v>165</x:v>
      </x:c>
      <x:c r="D7" s="38" t="n">
        <x:f>SUM(Assumptions!D9:D11)+Assumptions!D17</x:f>
        <x:v>130</x:v>
      </x:c>
      <x:c r="E7" s="38" t="n">
        <x:f>SUM(Assumptions!E9:E11)+Assumptions!E17</x:f>
        <x:v>103</x:v>
      </x:c>
      <x:c r="F7" s="26"/>
      <x:c r="G7" s="26"/>
      <x:c r="H7" s="26"/>
    </x:row>
    <x:row r="8" ht="15" hidden="0" customHeight="1">
      <x:c r="A8" s="37" t="str">
        <x:v>VIP</x:v>
      </x:c>
      <x:c r="B8" s="26" t="str">
        <x:v>تكلفة الخصم المتوقعة لكل كارت</x:v>
      </x:c>
      <x:c r="C8" s="38" t="n">
        <x:f>Assumptions!C13*Assumptions!C14</x:f>
        <x:v>200</x:v>
      </x:c>
      <x:c r="D8" s="38" t="n">
        <x:f>Assumptions!D13*Assumptions!D14</x:f>
        <x:v>120</x:v>
      </x:c>
      <x:c r="E8" s="38" t="n">
        <x:f>Assumptions!E13*Assumptions!E14</x:f>
        <x:v>72</x:v>
      </x:c>
      <x:c r="F8" s="26"/>
      <x:c r="G8" s="26"/>
      <x:c r="H8" s="26"/>
    </x:row>
    <x:row r="9" ht="15" hidden="0" customHeight="1">
      <x:c r="A9" s="37" t="str">
        <x:v>VIP</x:v>
      </x:c>
      <x:c r="B9" s="26" t="str">
        <x:v>تكلفة النقاط المتوقعة لكل كارت</x:v>
      </x:c>
      <x:c r="C9" s="38" t="n">
        <x:f>Assumptions!C15*Assumptions!C16</x:f>
        <x:v>49</x:v>
      </x:c>
      <x:c r="D9" s="38" t="n">
        <x:f>Assumptions!D15*Assumptions!D16</x:f>
        <x:v>25</x:v>
      </x:c>
      <x:c r="E9" s="38" t="n">
        <x:f>Assumptions!E15*Assumptions!E16</x:f>
        <x:v>14</x:v>
      </x:c>
      <x:c r="F9" s="26"/>
      <x:c r="G9" s="26"/>
      <x:c r="H9" s="26"/>
    </x:row>
    <x:row r="10" ht="15" hidden="0" customHeight="1">
      <x:c r="A10" s="37" t="str">
        <x:v>VIP</x:v>
      </x:c>
      <x:c r="B10" s="26" t="str">
        <x:v>احتياطي الأمان لكل كارت</x:v>
      </x:c>
      <x:c r="C10" s="38" t="n">
        <x:f>(C7+C8+C9)*Assumptions!C18</x:f>
        <x:v>82.80000000000001</x:v>
      </x:c>
      <x:c r="D10" s="38" t="n">
        <x:f>(D7+D8+D9)*Assumptions!D18</x:f>
        <x:v>41.25</x:v>
      </x:c>
      <x:c r="E10" s="38" t="n">
        <x:f>(E7+E8+E9)*Assumptions!E18</x:f>
        <x:v>18.900000000000002</x:v>
      </x:c>
      <x:c r="F10" s="26"/>
      <x:c r="G10" s="26"/>
      <x:c r="H10" s="26"/>
    </x:row>
    <x:row r="11" ht="15" hidden="0" customHeight="1">
      <x:c r="A11" s="37" t="str">
        <x:v>VIP</x:v>
      </x:c>
      <x:c r="B11" s="26" t="str">
        <x:v>المساهمة المتوقعة لكل كارت</x:v>
      </x:c>
      <x:c r="C11" s="38" t="n">
        <x:f>Assumptions!C8+Assumptions!C12-C7-C8-C9-C10</x:f>
        <x:v>-196.8</x:v>
      </x:c>
      <x:c r="D11" s="38" t="n">
        <x:f>Assumptions!D8+Assumptions!D12-D7-D8-D9-D10</x:f>
        <x:v>43.75</x:v>
      </x:c>
      <x:c r="E11" s="38" t="n">
        <x:f>Assumptions!E8+Assumptions!E12-E7-E8-E9-E10</x:f>
        <x:v>212.1</x:v>
      </x:c>
      <x:c r="F11" s="26"/>
      <x:c r="G11" s="26"/>
      <x:c r="H11" s="26"/>
    </x:row>
    <x:row r="12" ht="15" hidden="0" customHeight="1">
      <x:c r="A12" s="37" t="str">
        <x:v>VIP</x:v>
      </x:c>
      <x:c r="B12" s="26" t="str">
        <x:v>المساهمة عند أقصى استخدام لكل كارت</x:v>
      </x:c>
      <x:c r="C12" s="38" t="n">
        <x:f>Assumptions!C8+Assumptions!C12-C7-Assumptions!C13-Assumptions!C15-C10</x:f>
        <x:v>-267.8</x:v>
      </x:c>
      <x:c r="D12" s="38" t="n">
        <x:f>Assumptions!D8+Assumptions!D12-D7-Assumptions!D13-Assumptions!D15-D10</x:f>
        <x:v>-61.25</x:v>
      </x:c>
      <x:c r="E12" s="38" t="n">
        <x:f>Assumptions!E8+Assumptions!E12-E7-Assumptions!E13-Assumptions!E15-E10</x:f>
        <x:v>98.1</x:v>
      </x:c>
      <x:c r="F12" s="26"/>
      <x:c r="G12" s="26"/>
      <x:c r="H12" s="26"/>
    </x:row>
    <x:row r="13" ht="15" hidden="0" customHeight="1">
      <x:c r="A13" s="37" t="str">
        <x:v>VIP</x:v>
      </x:c>
      <x:c r="B13" s="26" t="str">
        <x:v>إجمالي المساهمة المتوقعة</x:v>
      </x:c>
      <x:c r="C13" s="38" t="n">
        <x:f>C5*C11</x:f>
        <x:v>-29520</x:v>
      </x:c>
      <x:c r="D13" s="38" t="n">
        <x:f>D5*D11</x:f>
        <x:v>13125</x:v>
      </x:c>
      <x:c r="E13" s="38" t="n">
        <x:f>E5*E11</x:f>
        <x:v>106050</x:v>
      </x:c>
      <x:c r="F13" s="26"/>
      <x:c r="G13" s="26"/>
      <x:c r="H13" s="26"/>
    </x:row>
    <x:row r="14" ht="15" hidden="0" customHeight="1">
      <x:c r="A14" s="37" t="str">
        <x:v>Silver</x:v>
      </x:c>
      <x:c r="B14" s="26" t="str">
        <x:v>الكروت المباعة</x:v>
      </x:c>
      <x:c r="C14" s="38" t="n">
        <x:f>Assumptions!C19</x:f>
        <x:v>250</x:v>
      </x:c>
      <x:c r="D14" s="38" t="n">
        <x:f>Assumptions!D19</x:f>
        <x:v>500</x:v>
      </x:c>
      <x:c r="E14" s="38" t="n">
        <x:f>Assumptions!E19</x:f>
        <x:v>800</x:v>
      </x:c>
      <x:c r="F14" s="26"/>
      <x:c r="G14" s="26"/>
      <x:c r="H14" s="26"/>
    </x:row>
    <x:row r="15" ht="15" hidden="0" customHeight="1">
      <x:c r="A15" s="37" t="str">
        <x:v>Silver</x:v>
      </x:c>
      <x:c r="B15" s="26" t="str">
        <x:v>إيراد بيع الكروت</x:v>
      </x:c>
      <x:c r="C15" s="38" t="n">
        <x:f>C14*Assumptions!C20</x:f>
        <x:v>18750</x:v>
      </x:c>
      <x:c r="D15" s="38" t="n">
        <x:f>D14*Assumptions!D20</x:f>
        <x:v>45000</x:v>
      </x:c>
      <x:c r="E15" s="38" t="n">
        <x:f>E14*Assumptions!E20</x:f>
        <x:v>88000</x:v>
      </x:c>
      <x:c r="F15" s="26"/>
      <x:c r="G15" s="26"/>
      <x:c r="H15" s="26"/>
    </x:row>
    <x:row r="16" ht="15" hidden="0" customHeight="1">
      <x:c r="A16" s="37" t="str">
        <x:v>Silver</x:v>
      </x:c>
      <x:c r="B16" s="26" t="str">
        <x:v>التكلفة المباشرة لكل كارت</x:v>
      </x:c>
      <x:c r="C16" s="38" t="n">
        <x:f>SUM(Assumptions!C21:C23)+Assumptions!C29</x:f>
        <x:v>78</x:v>
      </x:c>
      <x:c r="D16" s="38" t="n">
        <x:f>SUM(Assumptions!D21:D23)+Assumptions!D29</x:f>
        <x:v>59</x:v>
      </x:c>
      <x:c r="E16" s="38" t="n">
        <x:f>SUM(Assumptions!E21:E23)+Assumptions!E29</x:f>
        <x:v>45</x:v>
      </x:c>
      <x:c r="F16" s="26"/>
      <x:c r="G16" s="26"/>
      <x:c r="H16" s="26"/>
    </x:row>
    <x:row r="17" ht="15" hidden="0" customHeight="1">
      <x:c r="A17" s="37" t="str">
        <x:v>Silver</x:v>
      </x:c>
      <x:c r="B17" s="26" t="str">
        <x:v>تكلفة الخصم المتوقعة لكل كارت</x:v>
      </x:c>
      <x:c r="C17" s="38" t="n">
        <x:f>Assumptions!C25*Assumptions!C26</x:f>
        <x:v>90</x:v>
      </x:c>
      <x:c r="D17" s="38" t="n">
        <x:f>Assumptions!D25*Assumptions!D26</x:f>
        <x:v>56</x:v>
      </x:c>
      <x:c r="E17" s="38" t="n">
        <x:f>Assumptions!E25*Assumptions!E26</x:f>
        <x:v>35</x:v>
      </x:c>
      <x:c r="F17" s="26"/>
      <x:c r="G17" s="26"/>
      <x:c r="H17" s="26"/>
    </x:row>
    <x:row r="18" ht="15" hidden="0" customHeight="1">
      <x:c r="A18" s="37" t="str">
        <x:v>Silver</x:v>
      </x:c>
      <x:c r="B18" s="26" t="str">
        <x:v>تكلفة النقاط المتوقعة لكل كارت</x:v>
      </x:c>
      <x:c r="C18" s="38" t="n">
        <x:f>Assumptions!C27*Assumptions!C28</x:f>
        <x:v>0</x:v>
      </x:c>
      <x:c r="D18" s="38" t="n">
        <x:f>Assumptions!D27*Assumptions!D28</x:f>
        <x:v>0</x:v>
      </x:c>
      <x:c r="E18" s="38" t="n">
        <x:f>Assumptions!E27*Assumptions!E28</x:f>
        <x:v>0</x:v>
      </x:c>
      <x:c r="F18" s="26"/>
      <x:c r="G18" s="26"/>
      <x:c r="H18" s="26"/>
    </x:row>
    <x:row r="19" ht="15" hidden="0" customHeight="1">
      <x:c r="A19" s="37" t="str">
        <x:v>Silver</x:v>
      </x:c>
      <x:c r="B19" s="26" t="str">
        <x:v>احتياطي الأمان لكل كارت</x:v>
      </x:c>
      <x:c r="C19" s="38" t="n">
        <x:f>(C16+C17+C18)*Assumptions!C30</x:f>
        <x:v>33.6</x:v>
      </x:c>
      <x:c r="D19" s="38" t="n">
        <x:f>(D16+D17+D18)*Assumptions!D30</x:f>
        <x:v>17.25</x:v>
      </x:c>
      <x:c r="E19" s="38" t="n">
        <x:f>(E16+E17+E18)*Assumptions!E30</x:f>
        <x:v>8</x:v>
      </x:c>
      <x:c r="F19" s="26"/>
      <x:c r="G19" s="26"/>
      <x:c r="H19" s="26"/>
    </x:row>
    <x:row r="20" ht="15" hidden="0" customHeight="1">
      <x:c r="A20" s="37" t="str">
        <x:v>Silver</x:v>
      </x:c>
      <x:c r="B20" s="26" t="str">
        <x:v>المساهمة المتوقعة لكل كارت</x:v>
      </x:c>
      <x:c r="C20" s="38" t="n">
        <x:f>Assumptions!C20+Assumptions!C24-C16-C17-C18-C19</x:f>
        <x:v>-126.6</x:v>
      </x:c>
      <x:c r="D20" s="38" t="n">
        <x:f>Assumptions!D20+Assumptions!D24-D16-D17-D18-D19</x:f>
        <x:v>-39.25</x:v>
      </x:c>
      <x:c r="E20" s="38" t="n">
        <x:f>Assumptions!E20+Assumptions!E24-E16-E17-E18-E19</x:f>
        <x:v>27</x:v>
      </x:c>
      <x:c r="F20" s="26"/>
      <x:c r="G20" s="26"/>
      <x:c r="H20" s="26"/>
    </x:row>
    <x:row r="21" ht="15" hidden="0" customHeight="1">
      <x:c r="A21" s="37" t="str">
        <x:v>Silver</x:v>
      </x:c>
      <x:c r="B21" s="26" t="str">
        <x:v>المساهمة عند أقصى استخدام لكل كارت</x:v>
      </x:c>
      <x:c r="C21" s="38" t="n">
        <x:f>Assumptions!C20+Assumptions!C24-C16-Assumptions!C25-Assumptions!C27-C19</x:f>
        <x:v>-136.6</x:v>
      </x:c>
      <x:c r="D21" s="38" t="n">
        <x:f>Assumptions!D20+Assumptions!D24-D16-Assumptions!D25-Assumptions!D27-D19</x:f>
        <x:v>-63.25</x:v>
      </x:c>
      <x:c r="E21" s="38" t="n">
        <x:f>Assumptions!E20+Assumptions!E24-E16-Assumptions!E25-Assumptions!E27-E19</x:f>
        <x:v>-8</x:v>
      </x:c>
      <x:c r="F21" s="26"/>
      <x:c r="G21" s="26"/>
      <x:c r="H21" s="26"/>
    </x:row>
    <x:row r="22" ht="15" hidden="0" customHeight="1">
      <x:c r="A22" s="37" t="str">
        <x:v>Silver</x:v>
      </x:c>
      <x:c r="B22" s="26" t="str">
        <x:v>إجمالي المساهمة المتوقعة</x:v>
      </x:c>
      <x:c r="C22" s="38" t="n">
        <x:f>C14*C20</x:f>
        <x:v>-31650</x:v>
      </x:c>
      <x:c r="D22" s="38" t="n">
        <x:f>D14*D20</x:f>
        <x:v>-19625</x:v>
      </x:c>
      <x:c r="E22" s="38" t="n">
        <x:f>E14*E20</x:f>
        <x:v>21600</x:v>
      </x:c>
      <x:c r="F22" s="26"/>
      <x:c r="G22" s="26"/>
      <x:c r="H22" s="26"/>
    </x:row>
    <x:row r="23" ht="15" hidden="0" customHeight="1">
      <x:c r="A23" s="35" t="str">
        <x:v>البرنامج</x:v>
      </x:c>
      <x:c r="B23" s="39" t="str">
        <x:v>إجمالي الإيراد</x:v>
      </x:c>
      <x:c r="C23" s="40" t="n">
        <x:f>C6+C15</x:f>
        <x:v>63750</x:v>
      </x:c>
      <x:c r="D23" s="40" t="n">
        <x:f>D6+D15</x:f>
        <x:v>150000</x:v>
      </x:c>
      <x:c r="E23" s="40" t="n">
        <x:f>E6+E15</x:f>
        <x:v>288000</x:v>
      </x:c>
      <x:c r="F23" s="26"/>
      <x:c r="G23" s="26"/>
      <x:c r="H23" s="26"/>
    </x:row>
    <x:row r="24" ht="15" hidden="0" customHeight="1">
      <x:c r="A24" s="35" t="str">
        <x:v>البرنامج</x:v>
      </x:c>
      <x:c r="B24" s="39" t="str">
        <x:v>إجمالي الالتزام الأقصى لخصومات عمران</x:v>
      </x:c>
      <x:c r="C24" s="40" t="n">
        <x:f>Assumptions!C7*Assumptions!C13+Assumptions!C19*Assumptions!C25</x:f>
        <x:v>62500</x:v>
      </x:c>
      <x:c r="D24" s="40" t="n">
        <x:f>Assumptions!D7*Assumptions!D13+Assumptions!D19*Assumptions!D25</x:f>
        <x:v>100000</x:v>
      </x:c>
      <x:c r="E24" s="40" t="n">
        <x:f>Assumptions!E7*Assumptions!E13+Assumptions!E19*Assumptions!E25</x:f>
        <x:v>136000</x:v>
      </x:c>
      <x:c r="F24" s="26"/>
      <x:c r="G24" s="26"/>
      <x:c r="H24" s="26"/>
    </x:row>
    <x:row r="25" ht="15" hidden="0" customHeight="1">
      <x:c r="A25" s="35" t="str">
        <x:v>البرنامج</x:v>
      </x:c>
      <x:c r="B25" s="35" t="str">
        <x:v>صافي نتيجة البرنامج بعد تكلفة التأسيس</x:v>
      </x:c>
      <x:c r="C25" s="41" t="n">
        <x:f>C13+C22-Assumptions!C6</x:f>
        <x:v>-91170</x:v>
      </x:c>
      <x:c r="D25" s="41" t="n">
        <x:f>D13+D22-Assumptions!D6</x:f>
        <x:v>-31500</x:v>
      </x:c>
      <x:c r="E25" s="41" t="n">
        <x:f>E13+E22-Assumptions!E6</x:f>
        <x:v>107650</x:v>
      </x:c>
      <x:c r="F25" s="26"/>
      <x:c r="G25" s="26"/>
      <x:c r="H25" s="26"/>
    </x:row>
    <x:row r="26" ht="15" hidden="0" customHeight="1">
      <x:c r="A26" s="35" t="str">
        <x:v>البرنامج</x:v>
      </x:c>
      <x:c r="B26" s="39" t="str">
        <x:v>عدد الكروت اللازم لنقطة التعادل</x:v>
      </x:c>
      <x:c r="C26" s="40" t="n">
        <x:f>IF((C11*C5+C20*C14)/(C5+C14)&gt;0,ROUNDUP(Assumptions!C6/((C11*C5+C20*C14)/(C5+C14)),0),0)</x:f>
        <x:v>0</x:v>
      </x:c>
      <x:c r="D26" s="40" t="n">
        <x:f>IF((D11*D5+D20*D14)/(D5+D14)&gt;0,ROUNDUP(Assumptions!D6/((D11*D5+D20*D14)/(D5+D14)),0),0)</x:f>
        <x:v>0</x:v>
      </x:c>
      <x:c r="E26" s="40" t="n">
        <x:f>IF((E11*E5+E20*E14)/(E5+E14)&gt;0,ROUNDUP(Assumptions!E6/((E11*E5+E20*E14)/(E5+E14)),0),0)</x:f>
        <x:v>204</x:v>
      </x:c>
      <x:c r="F26" s="26"/>
      <x:c r="G26" s="26"/>
      <x:c r="H26" s="26"/>
    </x:row>
    <x:row r="27" ht="15" hidden="0" customHeight="1">
      <x:c r="A27" s="26"/>
      <x:c r="B27" s="26"/>
      <x:c r="C27" s="26"/>
      <x:c r="D27" s="26"/>
      <x:c r="E27" s="26"/>
      <x:c r="F27" s="26"/>
      <x:c r="G27" s="26"/>
      <x:c r="H27" s="26"/>
    </x:row>
    <x:row r="28" ht="15" hidden="0" customHeight="1">
      <x:c r="A28" s="26"/>
      <x:c r="B28" s="26"/>
      <x:c r="C28" s="26"/>
      <x:c r="D28" s="26"/>
      <x:c r="E28" s="26"/>
      <x:c r="F28" s="26"/>
      <x:c r="G28" s="26"/>
      <x:c r="H28" s="26"/>
    </x:row>
    <x:row r="29" ht="15" hidden="0" customHeight="1">
      <x:c r="A29" s="26"/>
      <x:c r="B29" s="26"/>
      <x:c r="C29" s="26"/>
      <x:c r="D29" s="26"/>
      <x:c r="E29" s="26"/>
      <x:c r="F29" s="26"/>
      <x:c r="G29" s="26"/>
      <x:c r="H29" s="26"/>
    </x:row>
    <x:row r="30" ht="15" hidden="0" customHeight="1">
      <x:c r="A30" s="26"/>
      <x:c r="B30" s="26"/>
      <x:c r="C30" s="26"/>
      <x:c r="D30" s="26"/>
      <x:c r="E30" s="26"/>
      <x:c r="F30" s="26"/>
      <x:c r="G30" s="26"/>
      <x:c r="H30" s="26"/>
    </x:row>
    <x:row r="31" ht="15" hidden="0" customHeight="1">
      <x:c r="A31" s="26"/>
      <x:c r="B31" s="26"/>
      <x:c r="C31" s="26"/>
      <x:c r="D31" s="26"/>
      <x:c r="E31" s="26"/>
      <x:c r="F31" s="26"/>
      <x:c r="G31" s="26"/>
      <x:c r="H31" s="26"/>
    </x:row>
    <x:row r="32" ht="15" hidden="0" customHeight="1">
      <x:c r="A32" s="26"/>
      <x:c r="B32" s="26"/>
      <x:c r="C32" s="26"/>
      <x:c r="D32" s="26"/>
      <x:c r="E32" s="26"/>
      <x:c r="F32" s="26"/>
      <x:c r="G32" s="26"/>
      <x:c r="H32" s="26"/>
    </x:row>
    <x:row r="33" ht="15" hidden="0" customHeight="1">
      <x:c r="A33" s="26"/>
      <x:c r="B33" s="26"/>
      <x:c r="C33" s="26"/>
      <x:c r="D33" s="26"/>
      <x:c r="E33" s="26"/>
      <x:c r="F33" s="26"/>
      <x:c r="G33" s="26"/>
      <x:c r="H33" s="26"/>
    </x:row>
    <x:row r="34" ht="15" hidden="0" customHeight="1">
      <x:c r="A34" s="26"/>
      <x:c r="B34" s="26"/>
      <x:c r="C34" s="26"/>
      <x:c r="D34" s="26"/>
      <x:c r="E34" s="26"/>
      <x:c r="F34" s="26"/>
      <x:c r="G34" s="26"/>
      <x:c r="H34" s="26"/>
    </x:row>
    <x:row r="35" ht="15" hidden="0" customHeight="1">
      <x:c r="A35" s="26"/>
      <x:c r="B35" s="26"/>
      <x:c r="C35" s="26"/>
      <x:c r="D35" s="26"/>
      <x:c r="E35" s="26"/>
      <x:c r="F35" s="26"/>
      <x:c r="G35" s="26"/>
      <x:c r="H35" s="26"/>
    </x:row>
    <x:row r="36" ht="15" hidden="0" customHeight="1">
      <x:c r="A36" s="26"/>
      <x:c r="B36" s="26"/>
      <x:c r="C36" s="26"/>
      <x:c r="D36" s="26"/>
      <x:c r="E36" s="26"/>
      <x:c r="F36" s="26"/>
      <x:c r="G36" s="26"/>
      <x:c r="H36" s="26"/>
    </x:row>
    <x:row r="37" ht="15" hidden="0" customHeight="1">
      <x:c r="A37" s="26"/>
      <x:c r="B37" s="26"/>
      <x:c r="C37" s="26"/>
      <x:c r="D37" s="26"/>
      <x:c r="E37" s="26"/>
      <x:c r="F37" s="26"/>
      <x:c r="G37" s="26"/>
      <x:c r="H37" s="26"/>
    </x:row>
    <x:row r="38" ht="15" hidden="0" customHeight="1">
      <x:c r="A38" s="26"/>
      <x:c r="B38" s="26"/>
      <x:c r="C38" s="26"/>
      <x:c r="D38" s="26"/>
      <x:c r="E38" s="26"/>
      <x:c r="F38" s="26"/>
      <x:c r="G38" s="26"/>
      <x:c r="H38" s="26"/>
    </x:row>
    <x:row r="39" ht="15" hidden="0" customHeight="1">
      <x:c r="A39" s="26"/>
      <x:c r="B39" s="26"/>
      <x:c r="C39" s="26"/>
      <x:c r="D39" s="26"/>
      <x:c r="E39" s="26"/>
      <x:c r="F39" s="26"/>
      <x:c r="G39" s="26"/>
      <x:c r="H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</x:row>
  </x:sheetData>
  <x:pageMargins left="0.7" right="0.7" top="0.75" bottom="0.75" header="0.3" footer="0.3"/>
</x:worksheet>
</file>